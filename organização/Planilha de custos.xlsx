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8_{BE6C6721-C902-4F0D-8D15-E1EB968B3E4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ust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1" l="1"/>
  <c r="C33" i="1"/>
  <c r="C32" i="1"/>
  <c r="C31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26" i="1" s="1"/>
  <c r="G9" i="1"/>
  <c r="G8" i="1"/>
  <c r="G7" i="1"/>
  <c r="G6" i="1"/>
  <c r="G5" i="1"/>
</calcChain>
</file>

<file path=xl/sharedStrings.xml><?xml version="1.0" encoding="utf-8"?>
<sst xmlns="http://schemas.openxmlformats.org/spreadsheetml/2006/main" count="83" uniqueCount="62">
  <si>
    <t>#</t>
  </si>
  <si>
    <t>Categoria</t>
  </si>
  <si>
    <t>Item</t>
  </si>
  <si>
    <t>Loja / Link</t>
  </si>
  <si>
    <t>Preço unitário (R$)</t>
  </si>
  <si>
    <t>Quantidade</t>
  </si>
  <si>
    <t>Valor estimado (R$)</t>
  </si>
  <si>
    <t>Observação</t>
  </si>
  <si>
    <t>Eletrônica</t>
  </si>
  <si>
    <t>ESP32 DevKit V1 (30 ou 38 pinos)</t>
  </si>
  <si>
    <t>https://www.google.com/search?q=esp32+devkit+v1+comprar</t>
  </si>
  <si>
    <t>Ponte H L298N</t>
  </si>
  <si>
    <t>https://www.google.com/search?q=modulo+ponte+h+l298n+comprar</t>
  </si>
  <si>
    <t>Sensor ultrassônico HC-SR04</t>
  </si>
  <si>
    <t>https://www.google.com/search?q=sensor+hc-sr04+comprar</t>
  </si>
  <si>
    <t>Regulador step-down (MP1584/LM2596)</t>
  </si>
  <si>
    <t>https://www.google.com/search?q=regulador+step+down+lm2596+comprar</t>
  </si>
  <si>
    <t>Motor DC TT com redução 1:48</t>
  </si>
  <si>
    <t>https://www.google.com/search?q=motor+dc+tt+redução+comprar</t>
  </si>
  <si>
    <t>Bateria Li-ion 18650 2200 mAh</t>
  </si>
  <si>
    <t>https://www.google.com/search?q=bateria+18650+2200mah+comprar</t>
  </si>
  <si>
    <t>Suporte 2x18650 com fios</t>
  </si>
  <si>
    <t>https://www.google.com/search?q=suporte+bateria+18650+comprar</t>
  </si>
  <si>
    <t>Chave gangorra KCD1 2 pinos</t>
  </si>
  <si>
    <t>https://www.google.com/search?q=chave+gangorra+kcd1+comprar</t>
  </si>
  <si>
    <t>Resistores 1k e 2k (kit sortido)</t>
  </si>
  <si>
    <t>https://www.google.com/search?q=kit+resistores+comprar</t>
  </si>
  <si>
    <t>Fusível + porta-fusível 2A</t>
  </si>
  <si>
    <t>https://www.google.com/search?q=porta+fusivel+2a+comprar</t>
  </si>
  <si>
    <t>Mecânica</t>
  </si>
  <si>
    <t>Placa acrílico/MDF para chassi (200x150x4mm)</t>
  </si>
  <si>
    <t>https://www.google.com/search?q=placa+acrilico+corte+a+laser+comprar</t>
  </si>
  <si>
    <t>Roda 65mm compatível com eixo TT</t>
  </si>
  <si>
    <t>https://www.google.com/search?q=roda+65mm+eixo+tt+comprar</t>
  </si>
  <si>
    <t>Roda boba (esfera ou rodízio)</t>
  </si>
  <si>
    <t>https://www.google.com/search?q=roda+boba+robo+comprar</t>
  </si>
  <si>
    <t>Parafusos + porcas M3x10</t>
  </si>
  <si>
    <t>https://www.google.com/search?q=kit+parafuso+m3+comprar</t>
  </si>
  <si>
    <t>Espaçadores latão M3 15mm</t>
  </si>
  <si>
    <t>https://www.google.com/search?q=espacador+latao+m3+comprar</t>
  </si>
  <si>
    <t>Organização de cabos</t>
  </si>
  <si>
    <t>Abraçadeiras (fita Hellerman / enforca-gato)</t>
  </si>
  <si>
    <t>https://www.google.com/search?q=abracadeira+enforca+gato+comprar</t>
  </si>
  <si>
    <t>Espiral organizador de cabo 6mm</t>
  </si>
  <si>
    <t>https://www.google.com/search?q=espiral+organizador+cabo+comprar</t>
  </si>
  <si>
    <t>Jumpers macho-fêmea e macho-macho</t>
  </si>
  <si>
    <t>https://www.google.com/search?q=kit+jumper+jacare+comprar</t>
  </si>
  <si>
    <t>Ferramentas/consumo</t>
  </si>
  <si>
    <t>Protoboard pequena 170 pontos</t>
  </si>
  <si>
    <t>https://www.google.com/search?q=protoboard+170+pontos+comprar</t>
  </si>
  <si>
    <t>TOTAL GERAL</t>
  </si>
  <si>
    <t>Subtotal por categoria</t>
  </si>
  <si>
    <t>Valor (R$)</t>
  </si>
  <si>
    <t>Legenda</t>
  </si>
  <si>
    <t>Célula azul / fundo amarelo</t>
  </si>
  <si>
    <t>entrada: editar com o preço e a quantidade reais</t>
  </si>
  <si>
    <t>Célula preta</t>
  </si>
  <si>
    <t>calculada por fórmula, não editar diretamente</t>
  </si>
  <si>
    <t>Fonte dos itens</t>
  </si>
  <si>
    <t xml:space="preserve">Planilha de custos — Carrinho-robô </t>
  </si>
  <si>
    <t>Baseado em hardware/componentes/lista-componentes.md — preços de exemplo</t>
  </si>
  <si>
    <t xml:space="preserve"> item adicional do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</si>
</sst>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u/>
      <sz val="11"/>
      <color rgb="FF1155CC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i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Border="1" applyAlignment="1"/>
    <xf numFmtId="0" fontId="1" fillId="0" borderId="0" xfId="0" applyFont="1" applyBorder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4" fillId="0" borderId="1" xfId="0" applyFont="1" applyBorder="1" applyAlignment="1"/>
    <xf numFmtId="164" fontId="5" fillId="3" borderId="1" xfId="0" applyNumberFormat="1" applyFont="1" applyFill="1" applyBorder="1" applyAlignment="1"/>
    <xf numFmtId="0" fontId="5" fillId="3" borderId="1" xfId="0" applyFont="1" applyFill="1" applyBorder="1" applyAlignment="1">
      <alignment horizontal="center"/>
    </xf>
    <xf numFmtId="164" fontId="6" fillId="0" borderId="1" xfId="0" applyNumberFormat="1" applyFont="1" applyBorder="1" applyAlignment="1"/>
    <xf numFmtId="0" fontId="0" fillId="0" borderId="1" xfId="0" applyFont="1" applyBorder="1" applyAlignment="1">
      <alignment wrapText="1"/>
    </xf>
    <xf numFmtId="0" fontId="7" fillId="0" borderId="1" xfId="0" applyFont="1" applyBorder="1" applyAlignment="1">
      <alignment horizontal="right"/>
    </xf>
    <xf numFmtId="164" fontId="7" fillId="0" borderId="1" xfId="0" applyNumberFormat="1" applyFont="1" applyBorder="1" applyAlignment="1"/>
    <xf numFmtId="0" fontId="8" fillId="0" borderId="0" xfId="0" applyFont="1" applyAlignment="1"/>
    <xf numFmtId="0" fontId="3" fillId="2" borderId="0" xfId="0" applyFont="1" applyFill="1" applyAlignment="1"/>
    <xf numFmtId="164" fontId="0" fillId="0" borderId="1" xfId="0" applyNumberFormat="1" applyBorder="1" applyAlignment="1"/>
    <xf numFmtId="0" fontId="7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chave+gangorra+kcd1+comprar" TargetMode="External"/><Relationship Id="rId13" Type="http://schemas.openxmlformats.org/officeDocument/2006/relationships/hyperlink" Target="https://www.google.com/search?q=roda+boba+robo+comprar" TargetMode="External"/><Relationship Id="rId18" Type="http://schemas.openxmlformats.org/officeDocument/2006/relationships/hyperlink" Target="https://www.google.com/search?q=kit+jumper+jacare+comprar" TargetMode="External"/><Relationship Id="rId3" Type="http://schemas.openxmlformats.org/officeDocument/2006/relationships/hyperlink" Target="https://www.google.com/search?q=sensor+hc-sr04+comprar" TargetMode="External"/><Relationship Id="rId7" Type="http://schemas.openxmlformats.org/officeDocument/2006/relationships/hyperlink" Target="https://www.google.com/search?q=suporte+bateria+18650+comprar" TargetMode="External"/><Relationship Id="rId12" Type="http://schemas.openxmlformats.org/officeDocument/2006/relationships/hyperlink" Target="https://www.google.com/search?q=roda+65mm+eixo+tt+comprar" TargetMode="External"/><Relationship Id="rId17" Type="http://schemas.openxmlformats.org/officeDocument/2006/relationships/hyperlink" Target="https://www.google.com/search?q=espiral+organizador+cabo+comprar" TargetMode="External"/><Relationship Id="rId2" Type="http://schemas.openxmlformats.org/officeDocument/2006/relationships/hyperlink" Target="https://www.google.com/search?q=modulo+ponte+h+l298n+comprar" TargetMode="External"/><Relationship Id="rId16" Type="http://schemas.openxmlformats.org/officeDocument/2006/relationships/hyperlink" Target="https://www.google.com/search?q=abracadeira+enforca+gato+comprar" TargetMode="External"/><Relationship Id="rId1" Type="http://schemas.openxmlformats.org/officeDocument/2006/relationships/hyperlink" Target="https://www.google.com/search?q=esp32+devkit+v1+comprar" TargetMode="External"/><Relationship Id="rId6" Type="http://schemas.openxmlformats.org/officeDocument/2006/relationships/hyperlink" Target="https://www.google.com/search?q=bateria+18650+2200mah+comprar" TargetMode="External"/><Relationship Id="rId11" Type="http://schemas.openxmlformats.org/officeDocument/2006/relationships/hyperlink" Target="https://www.google.com/search?q=placa+acrilico+corte+a+laser+comprar" TargetMode="External"/><Relationship Id="rId5" Type="http://schemas.openxmlformats.org/officeDocument/2006/relationships/hyperlink" Target="https://www.google.com/search?q=motor+dc+tt+redu&#231;&#227;o+comprar" TargetMode="External"/><Relationship Id="rId15" Type="http://schemas.openxmlformats.org/officeDocument/2006/relationships/hyperlink" Target="https://www.google.com/search?q=espacador+latao+m3+comprar" TargetMode="External"/><Relationship Id="rId10" Type="http://schemas.openxmlformats.org/officeDocument/2006/relationships/hyperlink" Target="https://www.google.com/search?q=porta+fusivel+2a+comprar" TargetMode="External"/><Relationship Id="rId19" Type="http://schemas.openxmlformats.org/officeDocument/2006/relationships/hyperlink" Target="https://www.google.com/search?q=protoboard+170+pontos+comprar" TargetMode="External"/><Relationship Id="rId4" Type="http://schemas.openxmlformats.org/officeDocument/2006/relationships/hyperlink" Target="https://www.google.com/search?q=regulador+step+down+lm2596+comprar" TargetMode="External"/><Relationship Id="rId9" Type="http://schemas.openxmlformats.org/officeDocument/2006/relationships/hyperlink" Target="https://www.google.com/search?q=kit+resistores+comprar" TargetMode="External"/><Relationship Id="rId14" Type="http://schemas.openxmlformats.org/officeDocument/2006/relationships/hyperlink" Target="https://www.google.com/search?q=kit+parafuso+m3+compr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Normal="100" workbookViewId="0">
      <pane ySplit="4" topLeftCell="A5" activePane="bottomLeft" state="frozen"/>
      <selection pane="bottomLeft" activeCell="H7" sqref="H7"/>
    </sheetView>
  </sheetViews>
  <sheetFormatPr defaultColWidth="8.7109375" defaultRowHeight="15" x14ac:dyDescent="0.25"/>
  <cols>
    <col min="1" max="1" width="4" style="3" customWidth="1"/>
    <col min="2" max="2" width="20" style="3" customWidth="1"/>
    <col min="3" max="3" width="34" style="3" customWidth="1"/>
    <col min="4" max="4" width="30" style="3" customWidth="1"/>
    <col min="5" max="5" width="16" style="3" customWidth="1"/>
    <col min="6" max="6" width="12" style="3" customWidth="1"/>
    <col min="7" max="7" width="16" style="3" customWidth="1"/>
    <col min="8" max="8" width="30" style="3" customWidth="1"/>
  </cols>
  <sheetData>
    <row r="1" spans="1:8" ht="17.25" customHeight="1" x14ac:dyDescent="0.25">
      <c r="A1" s="2" t="s">
        <v>59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1"/>
      <c r="B2" s="1"/>
      <c r="C2" s="1"/>
      <c r="D2" s="1"/>
      <c r="E2" s="1"/>
      <c r="F2" s="1"/>
      <c r="G2" s="1"/>
      <c r="H2" s="1"/>
    </row>
    <row r="4" spans="1:8" ht="26.25" customHeight="1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ht="15" customHeight="1" x14ac:dyDescent="0.25">
      <c r="A5" s="5">
        <v>1</v>
      </c>
      <c r="B5" s="5" t="s">
        <v>8</v>
      </c>
      <c r="C5" s="5" t="s">
        <v>9</v>
      </c>
      <c r="D5" s="6" t="s">
        <v>10</v>
      </c>
      <c r="E5" s="7">
        <v>35</v>
      </c>
      <c r="F5" s="8">
        <v>1</v>
      </c>
      <c r="G5" s="9">
        <f t="shared" ref="G5:G24" si="0">E5*F5</f>
        <v>35</v>
      </c>
      <c r="H5" s="10"/>
    </row>
    <row r="6" spans="1:8" ht="15" customHeight="1" x14ac:dyDescent="0.25">
      <c r="A6" s="5">
        <v>2</v>
      </c>
      <c r="B6" s="5" t="s">
        <v>8</v>
      </c>
      <c r="C6" s="5" t="s">
        <v>11</v>
      </c>
      <c r="D6" s="6" t="s">
        <v>12</v>
      </c>
      <c r="E6" s="7">
        <v>18</v>
      </c>
      <c r="F6" s="8">
        <v>1</v>
      </c>
      <c r="G6" s="9">
        <f t="shared" si="0"/>
        <v>18</v>
      </c>
      <c r="H6" s="10"/>
    </row>
    <row r="7" spans="1:8" ht="15" customHeight="1" x14ac:dyDescent="0.25">
      <c r="A7" s="5">
        <v>3</v>
      </c>
      <c r="B7" s="5" t="s">
        <v>8</v>
      </c>
      <c r="C7" s="5" t="s">
        <v>13</v>
      </c>
      <c r="D7" s="6" t="s">
        <v>14</v>
      </c>
      <c r="E7" s="7">
        <v>12</v>
      </c>
      <c r="F7" s="8">
        <v>1</v>
      </c>
      <c r="G7" s="9">
        <f t="shared" si="0"/>
        <v>12</v>
      </c>
      <c r="H7" s="10"/>
    </row>
    <row r="8" spans="1:8" ht="15" customHeight="1" x14ac:dyDescent="0.25">
      <c r="A8" s="5">
        <v>4</v>
      </c>
      <c r="B8" s="5" t="s">
        <v>8</v>
      </c>
      <c r="C8" s="5" t="s">
        <v>15</v>
      </c>
      <c r="D8" s="6" t="s">
        <v>16</v>
      </c>
      <c r="E8" s="7">
        <v>10</v>
      </c>
      <c r="F8" s="8">
        <v>1</v>
      </c>
      <c r="G8" s="9">
        <f t="shared" si="0"/>
        <v>10</v>
      </c>
      <c r="H8" s="10"/>
    </row>
    <row r="9" spans="1:8" ht="15" customHeight="1" x14ac:dyDescent="0.25">
      <c r="A9" s="5">
        <v>5</v>
      </c>
      <c r="B9" s="5" t="s">
        <v>8</v>
      </c>
      <c r="C9" s="5" t="s">
        <v>17</v>
      </c>
      <c r="D9" s="6" t="s">
        <v>18</v>
      </c>
      <c r="E9" s="7">
        <v>15</v>
      </c>
      <c r="F9" s="8">
        <v>2</v>
      </c>
      <c r="G9" s="9">
        <f t="shared" si="0"/>
        <v>30</v>
      </c>
      <c r="H9" s="10"/>
    </row>
    <row r="10" spans="1:8" ht="15" customHeight="1" x14ac:dyDescent="0.25">
      <c r="A10" s="5">
        <v>6</v>
      </c>
      <c r="B10" s="5" t="s">
        <v>8</v>
      </c>
      <c r="C10" s="5" t="s">
        <v>19</v>
      </c>
      <c r="D10" s="6" t="s">
        <v>20</v>
      </c>
      <c r="E10" s="7">
        <v>22</v>
      </c>
      <c r="F10" s="8">
        <v>2</v>
      </c>
      <c r="G10" s="9">
        <f t="shared" si="0"/>
        <v>44</v>
      </c>
      <c r="H10" s="10"/>
    </row>
    <row r="11" spans="1:8" ht="15" customHeight="1" x14ac:dyDescent="0.25">
      <c r="A11" s="5">
        <v>7</v>
      </c>
      <c r="B11" s="5" t="s">
        <v>8</v>
      </c>
      <c r="C11" s="5" t="s">
        <v>21</v>
      </c>
      <c r="D11" s="6" t="s">
        <v>22</v>
      </c>
      <c r="E11" s="7">
        <v>8</v>
      </c>
      <c r="F11" s="8">
        <v>1</v>
      </c>
      <c r="G11" s="9">
        <f t="shared" si="0"/>
        <v>8</v>
      </c>
      <c r="H11" s="10"/>
    </row>
    <row r="12" spans="1:8" ht="15" customHeight="1" x14ac:dyDescent="0.25">
      <c r="A12" s="5">
        <v>8</v>
      </c>
      <c r="B12" s="5" t="s">
        <v>8</v>
      </c>
      <c r="C12" s="5" t="s">
        <v>23</v>
      </c>
      <c r="D12" s="6" t="s">
        <v>24</v>
      </c>
      <c r="E12" s="7">
        <v>3.5</v>
      </c>
      <c r="F12" s="8">
        <v>1</v>
      </c>
      <c r="G12" s="9">
        <f t="shared" si="0"/>
        <v>3.5</v>
      </c>
      <c r="H12" s="10"/>
    </row>
    <row r="13" spans="1:8" ht="15" customHeight="1" x14ac:dyDescent="0.25">
      <c r="A13" s="5">
        <v>9</v>
      </c>
      <c r="B13" s="5" t="s">
        <v>8</v>
      </c>
      <c r="C13" s="5" t="s">
        <v>25</v>
      </c>
      <c r="D13" s="6" t="s">
        <v>26</v>
      </c>
      <c r="E13" s="7">
        <v>15</v>
      </c>
      <c r="F13" s="8">
        <v>1</v>
      </c>
      <c r="G13" s="9">
        <f t="shared" si="0"/>
        <v>15</v>
      </c>
      <c r="H13" s="10"/>
    </row>
    <row r="14" spans="1:8" ht="15" customHeight="1" x14ac:dyDescent="0.25">
      <c r="A14" s="5">
        <v>10</v>
      </c>
      <c r="B14" s="5" t="s">
        <v>8</v>
      </c>
      <c r="C14" s="5" t="s">
        <v>27</v>
      </c>
      <c r="D14" s="6" t="s">
        <v>28</v>
      </c>
      <c r="E14" s="7">
        <v>6</v>
      </c>
      <c r="F14" s="8">
        <v>1</v>
      </c>
      <c r="G14" s="9">
        <f t="shared" si="0"/>
        <v>6</v>
      </c>
      <c r="H14" s="10"/>
    </row>
    <row r="15" spans="1:8" ht="15" customHeight="1" x14ac:dyDescent="0.25">
      <c r="A15" s="5">
        <v>11</v>
      </c>
      <c r="B15" s="5" t="s">
        <v>29</v>
      </c>
      <c r="C15" s="5" t="s">
        <v>30</v>
      </c>
      <c r="D15" s="6" t="s">
        <v>31</v>
      </c>
      <c r="E15" s="7">
        <v>25</v>
      </c>
      <c r="F15" s="8">
        <v>1</v>
      </c>
      <c r="G15" s="9">
        <f t="shared" si="0"/>
        <v>25</v>
      </c>
      <c r="H15" s="10"/>
    </row>
    <row r="16" spans="1:8" ht="15" customHeight="1" x14ac:dyDescent="0.25">
      <c r="A16" s="5">
        <v>12</v>
      </c>
      <c r="B16" s="5" t="s">
        <v>29</v>
      </c>
      <c r="C16" s="5" t="s">
        <v>32</v>
      </c>
      <c r="D16" s="6" t="s">
        <v>33</v>
      </c>
      <c r="E16" s="7">
        <v>8</v>
      </c>
      <c r="F16" s="8">
        <v>2</v>
      </c>
      <c r="G16" s="9">
        <f t="shared" si="0"/>
        <v>16</v>
      </c>
      <c r="H16" s="10"/>
    </row>
    <row r="17" spans="1:8" ht="15" customHeight="1" x14ac:dyDescent="0.25">
      <c r="A17" s="5">
        <v>13</v>
      </c>
      <c r="B17" s="5" t="s">
        <v>29</v>
      </c>
      <c r="C17" s="5" t="s">
        <v>34</v>
      </c>
      <c r="D17" s="6" t="s">
        <v>35</v>
      </c>
      <c r="E17" s="7">
        <v>6</v>
      </c>
      <c r="F17" s="8">
        <v>1</v>
      </c>
      <c r="G17" s="9">
        <f t="shared" si="0"/>
        <v>6</v>
      </c>
      <c r="H17" s="10"/>
    </row>
    <row r="18" spans="1:8" ht="15" customHeight="1" x14ac:dyDescent="0.25">
      <c r="A18" s="5">
        <v>14</v>
      </c>
      <c r="B18" s="5" t="s">
        <v>29</v>
      </c>
      <c r="C18" s="5" t="s">
        <v>36</v>
      </c>
      <c r="D18" s="6" t="s">
        <v>37</v>
      </c>
      <c r="E18" s="7">
        <v>12</v>
      </c>
      <c r="F18" s="8">
        <v>1</v>
      </c>
      <c r="G18" s="9">
        <f t="shared" si="0"/>
        <v>12</v>
      </c>
      <c r="H18" s="10"/>
    </row>
    <row r="19" spans="1:8" ht="15" customHeight="1" x14ac:dyDescent="0.25">
      <c r="A19" s="5">
        <v>15</v>
      </c>
      <c r="B19" s="5" t="s">
        <v>29</v>
      </c>
      <c r="C19" s="5" t="s">
        <v>38</v>
      </c>
      <c r="D19" s="6" t="s">
        <v>39</v>
      </c>
      <c r="E19" s="7">
        <v>10</v>
      </c>
      <c r="F19" s="8">
        <v>1</v>
      </c>
      <c r="G19" s="9">
        <f t="shared" si="0"/>
        <v>10</v>
      </c>
      <c r="H19" s="10"/>
    </row>
    <row r="20" spans="1:8" ht="15" customHeight="1" x14ac:dyDescent="0.25">
      <c r="A20" s="5">
        <v>16</v>
      </c>
      <c r="B20" s="5" t="s">
        <v>40</v>
      </c>
      <c r="C20" s="5" t="s">
        <v>41</v>
      </c>
      <c r="D20" s="6" t="s">
        <v>42</v>
      </c>
      <c r="E20" s="7">
        <v>8</v>
      </c>
      <c r="F20" s="8">
        <v>1</v>
      </c>
      <c r="G20" s="9">
        <f t="shared" si="0"/>
        <v>8</v>
      </c>
      <c r="H20" s="10"/>
    </row>
    <row r="21" spans="1:8" ht="15" customHeight="1" x14ac:dyDescent="0.25">
      <c r="A21" s="5">
        <v>17</v>
      </c>
      <c r="B21" s="5" t="s">
        <v>40</v>
      </c>
      <c r="C21" s="5" t="s">
        <v>43</v>
      </c>
      <c r="D21" s="6" t="s">
        <v>44</v>
      </c>
      <c r="E21" s="7">
        <v>7</v>
      </c>
      <c r="F21" s="8">
        <v>1</v>
      </c>
      <c r="G21" s="9">
        <f t="shared" si="0"/>
        <v>7</v>
      </c>
      <c r="H21" s="10"/>
    </row>
    <row r="22" spans="1:8" ht="15" customHeight="1" x14ac:dyDescent="0.25">
      <c r="A22" s="5">
        <v>18</v>
      </c>
      <c r="B22" s="5" t="s">
        <v>40</v>
      </c>
      <c r="C22" s="5" t="s">
        <v>45</v>
      </c>
      <c r="D22" s="6" t="s">
        <v>46</v>
      </c>
      <c r="E22" s="7">
        <v>14</v>
      </c>
      <c r="F22" s="8">
        <v>1</v>
      </c>
      <c r="G22" s="9">
        <f t="shared" si="0"/>
        <v>14</v>
      </c>
      <c r="H22" s="10"/>
    </row>
    <row r="23" spans="1:8" ht="15" customHeight="1" x14ac:dyDescent="0.25">
      <c r="A23" s="5">
        <v>19</v>
      </c>
      <c r="B23" s="5" t="s">
        <v>47</v>
      </c>
      <c r="C23" s="5" t="s">
        <v>48</v>
      </c>
      <c r="D23" s="6" t="s">
        <v>49</v>
      </c>
      <c r="E23" s="7">
        <v>9</v>
      </c>
      <c r="F23" s="8">
        <v>1</v>
      </c>
      <c r="G23" s="9">
        <f t="shared" si="0"/>
        <v>9</v>
      </c>
      <c r="H23" s="10"/>
    </row>
    <row r="24" spans="1:8" ht="15" customHeight="1" x14ac:dyDescent="0.25">
      <c r="A24" s="5">
        <v>20</v>
      </c>
      <c r="B24" s="5" t="s">
        <v>47</v>
      </c>
      <c r="C24" s="5" t="s">
        <v>61</v>
      </c>
      <c r="D24" s="5"/>
      <c r="E24" s="7">
        <v>0</v>
      </c>
      <c r="F24" s="8">
        <v>0</v>
      </c>
      <c r="G24" s="9">
        <f t="shared" si="0"/>
        <v>0</v>
      </c>
      <c r="H24" s="10"/>
    </row>
    <row r="26" spans="1:8" ht="15" customHeight="1" x14ac:dyDescent="0.25">
      <c r="F26" s="11" t="s">
        <v>50</v>
      </c>
      <c r="G26" s="12">
        <f>SUM(G5:G24)</f>
        <v>288.5</v>
      </c>
    </row>
    <row r="29" spans="1:8" ht="15" customHeight="1" x14ac:dyDescent="0.25">
      <c r="B29" s="13" t="s">
        <v>51</v>
      </c>
    </row>
    <row r="30" spans="1:8" ht="15" customHeight="1" x14ac:dyDescent="0.25">
      <c r="B30" s="14" t="s">
        <v>1</v>
      </c>
      <c r="C30" s="14" t="s">
        <v>52</v>
      </c>
    </row>
    <row r="31" spans="1:8" ht="15" customHeight="1" x14ac:dyDescent="0.25">
      <c r="B31" s="5" t="s">
        <v>8</v>
      </c>
      <c r="C31" s="15">
        <f>SUMIFS(G5:G24,B5:B24,B31)</f>
        <v>181.5</v>
      </c>
    </row>
    <row r="32" spans="1:8" ht="15" customHeight="1" x14ac:dyDescent="0.25">
      <c r="B32" s="5" t="s">
        <v>47</v>
      </c>
      <c r="C32" s="15">
        <f>SUMIFS(G5:G24,B5:B24,B32)</f>
        <v>9</v>
      </c>
    </row>
    <row r="33" spans="2:3" ht="15" customHeight="1" x14ac:dyDescent="0.25">
      <c r="B33" s="5" t="s">
        <v>29</v>
      </c>
      <c r="C33" s="15">
        <f>SUMIFS(G5:G24,B5:B24,B33)</f>
        <v>69</v>
      </c>
    </row>
    <row r="34" spans="2:3" ht="15" customHeight="1" x14ac:dyDescent="0.25">
      <c r="B34" s="5" t="s">
        <v>40</v>
      </c>
      <c r="C34" s="15">
        <f>SUMIFS(G5:G24,B5:B24,B34)</f>
        <v>29</v>
      </c>
    </row>
    <row r="37" spans="2:3" ht="15" customHeight="1" x14ac:dyDescent="0.25">
      <c r="B37" s="16" t="s">
        <v>53</v>
      </c>
    </row>
    <row r="38" spans="2:3" ht="15" customHeight="1" x14ac:dyDescent="0.25">
      <c r="B38" s="17" t="s">
        <v>54</v>
      </c>
      <c r="C38" s="3" t="s">
        <v>55</v>
      </c>
    </row>
    <row r="39" spans="2:3" ht="15" customHeight="1" x14ac:dyDescent="0.25">
      <c r="B39" s="17" t="s">
        <v>56</v>
      </c>
      <c r="C39" s="3" t="s">
        <v>57</v>
      </c>
    </row>
    <row r="40" spans="2:3" ht="15" customHeight="1" x14ac:dyDescent="0.25">
      <c r="B40" s="17" t="s">
        <v>58</v>
      </c>
      <c r="C40" s="3" t="s">
        <v>60</v>
      </c>
    </row>
  </sheetData>
  <mergeCells count="2">
    <mergeCell ref="A1:H1"/>
    <mergeCell ref="A2:H2"/>
  </mergeCells>
  <hyperlinks>
    <hyperlink ref="D5" r:id="rId1" xr:uid="{00000000-0004-0000-0000-000000000000}"/>
    <hyperlink ref="D6" r:id="rId2" xr:uid="{00000000-0004-0000-0000-000001000000}"/>
    <hyperlink ref="D7" r:id="rId3" xr:uid="{00000000-0004-0000-0000-000002000000}"/>
    <hyperlink ref="D8" r:id="rId4" xr:uid="{00000000-0004-0000-0000-000003000000}"/>
    <hyperlink ref="D9" r:id="rId5" xr:uid="{00000000-0004-0000-0000-000004000000}"/>
    <hyperlink ref="D10" r:id="rId6" xr:uid="{00000000-0004-0000-0000-000005000000}"/>
    <hyperlink ref="D11" r:id="rId7" xr:uid="{00000000-0004-0000-0000-000006000000}"/>
    <hyperlink ref="D12" r:id="rId8" xr:uid="{00000000-0004-0000-0000-000007000000}"/>
    <hyperlink ref="D13" r:id="rId9" xr:uid="{00000000-0004-0000-0000-000008000000}"/>
    <hyperlink ref="D14" r:id="rId10" xr:uid="{00000000-0004-0000-0000-000009000000}"/>
    <hyperlink ref="D15" r:id="rId11" xr:uid="{00000000-0004-0000-0000-00000A000000}"/>
    <hyperlink ref="D16" r:id="rId12" xr:uid="{00000000-0004-0000-0000-00000B000000}"/>
    <hyperlink ref="D17" r:id="rId13" xr:uid="{00000000-0004-0000-0000-00000C000000}"/>
    <hyperlink ref="D18" r:id="rId14" xr:uid="{00000000-0004-0000-0000-00000D000000}"/>
    <hyperlink ref="D19" r:id="rId15" xr:uid="{00000000-0004-0000-0000-00000E000000}"/>
    <hyperlink ref="D20" r:id="rId16" xr:uid="{00000000-0004-0000-0000-00000F000000}"/>
    <hyperlink ref="D21" r:id="rId17" xr:uid="{00000000-0004-0000-0000-000010000000}"/>
    <hyperlink ref="D22" r:id="rId18" xr:uid="{00000000-0004-0000-0000-000011000000}"/>
    <hyperlink ref="D23" r:id="rId19" xr:uid="{00000000-0004-0000-0000-000012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Laboratório FIAP</cp:lastModifiedBy>
  <cp:revision>0</cp:revision>
  <dcterms:created xsi:type="dcterms:W3CDTF">2026-08-26T23:11:48Z</dcterms:created>
  <dcterms:modified xsi:type="dcterms:W3CDTF">2026-08-26T23:25:36Z</dcterms:modified>
  <dc:language>en-US</dc:language>
</cp:coreProperties>
</file>